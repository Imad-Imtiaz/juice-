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Orders" sheetId="2" state="visible" r:id="rId2"/>
    <sheet xmlns:r="http://schemas.openxmlformats.org/officeDocument/2006/relationships" name="Stats" sheetId="3" state="hidden" r:id="rId3"/>
  </sheets>
  <definedNames>
    <definedName name="_xlnm._FilterDatabase" localSheetId="1" hidden="1">'Orders'!$A$1:$M$5000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22"/>
    </font>
    <font>
      <b val="1"/>
      <color rgb="00FFFFFF"/>
    </font>
    <font>
      <b val="1"/>
      <sz val="18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2E7D3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dxfs count="4">
    <dxf>
      <fill>
        <patternFill patternType="solid">
          <fgColor rgb="00FFF59D"/>
        </patternFill>
      </fill>
    </dxf>
    <dxf>
      <fill>
        <patternFill patternType="solid">
          <fgColor rgb="00FFE0B2"/>
        </patternFill>
      </fill>
    </dxf>
    <dxf>
      <fill>
        <patternFill patternType="solid">
          <fgColor rgb="00C8E6C9"/>
        </patternFill>
      </fill>
    </dxf>
    <dxf>
      <fill>
        <patternFill patternType="solid">
          <f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Order Status</a:t>
            </a:r>
          </a:p>
        </rich>
      </tx>
    </title>
    <plotArea>
      <pieChart>
        <varyColors val="1"/>
        <ser>
          <idx val="0"/>
          <order val="0"/>
          <tx>
            <strRef>
              <f>'Stats'!B1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'Stats'!$A$2:$A$5</f>
            </numRef>
          </cat>
          <val>
            <numRef>
              <f>'Stats'!$B$2:$B$5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3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OrdersTable" displayName="OrdersTable" ref="A1:M2" headerRowCount="1">
  <autoFilter ref="A1:M2"/>
  <tableColumns count="13">
    <tableColumn id="1" name="Order No"/>
    <tableColumn id="2" name="Date"/>
    <tableColumn id="3" name="Time"/>
    <tableColumn id="4" name="Customer Name"/>
    <tableColumn id="5" name="Phone"/>
    <tableColumn id="6" name="Email"/>
    <tableColumn id="7" name="Address"/>
    <tableColumn id="8" name="Juice"/>
    <tableColumn id="9" name="Subscription"/>
    <tableColumn id="10" name="Delivery Partner"/>
    <tableColumn id="11" name="Payment Method"/>
    <tableColumn id="12" name="Status"/>
    <tableColumn id="13" name="Notes"/>
  </tableColumns>
  <tableStyleInfo name="TableStyleMedium7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 ht="28" customHeight="1">
      <c r="A1" s="1" t="inlineStr">
        <is>
          <t>PORTAL JUICE
ORDER MANAGEMENT</t>
        </is>
      </c>
    </row>
    <row r="2" ht="28" customHeight="1"/>
    <row r="4">
      <c r="A4" s="2" t="inlineStr">
        <is>
          <t>Total Orders</t>
        </is>
      </c>
      <c r="B4" s="3" t="n"/>
      <c r="C4" s="2" t="inlineStr">
        <is>
          <t>Pending</t>
        </is>
      </c>
      <c r="D4" s="3" t="n"/>
      <c r="E4" s="2" t="inlineStr">
        <is>
          <t>Preparing</t>
        </is>
      </c>
      <c r="F4" s="3" t="n"/>
    </row>
    <row r="5">
      <c r="A5" s="4">
        <f>COUNTA(Orders!A2:A5000)</f>
        <v/>
      </c>
      <c r="B5" s="3" t="n"/>
      <c r="C5" s="4">
        <f>COUNTIF(Orders!L2:L5000,"Pending")</f>
        <v/>
      </c>
      <c r="D5" s="3" t="n"/>
      <c r="E5" s="4">
        <f>COUNTIF(Orders!L2:L5000,"Preparing")</f>
        <v/>
      </c>
      <c r="F5" s="3" t="n"/>
    </row>
    <row r="6">
      <c r="A6" s="3" t="n"/>
      <c r="B6" s="3" t="n"/>
      <c r="C6" s="3" t="n"/>
      <c r="D6" s="3" t="n"/>
      <c r="E6" s="3" t="n"/>
      <c r="F6" s="3" t="n"/>
    </row>
    <row r="8">
      <c r="A8" s="2" t="inlineStr">
        <is>
          <t>Delivered</t>
        </is>
      </c>
      <c r="B8" s="3" t="n"/>
      <c r="C8" s="2" t="inlineStr">
        <is>
          <t>Cancelled</t>
        </is>
      </c>
      <c r="D8" s="3" t="n"/>
    </row>
    <row r="9">
      <c r="A9" s="4">
        <f>COUNTIF(Orders!L2:L5000,"Delivered")</f>
        <v/>
      </c>
      <c r="B9" s="3" t="n"/>
      <c r="C9" s="4">
        <f>COUNTIF(Orders!L2:L5000,"Cancelled")</f>
        <v/>
      </c>
      <c r="D9" s="3" t="n"/>
    </row>
    <row r="10">
      <c r="A10" s="3" t="n"/>
      <c r="B10" s="3" t="n"/>
      <c r="C10" s="3" t="n"/>
      <c r="D10" s="3" t="n"/>
    </row>
    <row r="13">
      <c r="A13" s="5" t="inlineStr">
        <is>
          <t>Instructions</t>
        </is>
      </c>
    </row>
    <row r="14">
      <c r="A14" t="inlineStr">
        <is>
          <t>• Update the Status column in the Orders sheet.
• Use filters to search orders.
• Notes can be used for internal remarks.</t>
        </is>
      </c>
    </row>
  </sheetData>
  <mergeCells count="11">
    <mergeCell ref="A4:B4"/>
    <mergeCell ref="E4:F4"/>
    <mergeCell ref="C9:D10"/>
    <mergeCell ref="A1:F2"/>
    <mergeCell ref="C5:D6"/>
    <mergeCell ref="A5:B6"/>
    <mergeCell ref="E5:F6"/>
    <mergeCell ref="A8:B8"/>
    <mergeCell ref="A9:B10"/>
    <mergeCell ref="C8:D8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8" customWidth="1" min="10" max="10"/>
    <col width="16" customWidth="1" min="11" max="11"/>
    <col width="16" customWidth="1" min="12" max="12"/>
    <col width="16" customWidth="1" min="13" max="13"/>
  </cols>
  <sheetData>
    <row r="1">
      <c r="A1" s="6" t="inlineStr">
        <is>
          <t>Order No</t>
        </is>
      </c>
      <c r="B1" s="6" t="inlineStr">
        <is>
          <t>Date</t>
        </is>
      </c>
      <c r="C1" s="6" t="inlineStr">
        <is>
          <t>Time</t>
        </is>
      </c>
      <c r="D1" s="6" t="inlineStr">
        <is>
          <t>Customer Name</t>
        </is>
      </c>
      <c r="E1" s="6" t="inlineStr">
        <is>
          <t>Phone</t>
        </is>
      </c>
      <c r="F1" s="6" t="inlineStr">
        <is>
          <t>Email</t>
        </is>
      </c>
      <c r="G1" s="6" t="inlineStr">
        <is>
          <t>Address</t>
        </is>
      </c>
      <c r="H1" s="6" t="inlineStr">
        <is>
          <t>Juice</t>
        </is>
      </c>
      <c r="I1" s="6" t="inlineStr">
        <is>
          <t>Subscription</t>
        </is>
      </c>
      <c r="J1" s="6" t="inlineStr">
        <is>
          <t>Delivery Partner</t>
        </is>
      </c>
      <c r="K1" s="6" t="inlineStr">
        <is>
          <t>Payment Method</t>
        </is>
      </c>
      <c r="L1" s="6" t="inlineStr">
        <is>
          <t>Status</t>
        </is>
      </c>
      <c r="M1" s="6" t="inlineStr">
        <is>
          <t>Notes</t>
        </is>
      </c>
    </row>
  </sheetData>
  <autoFilter ref="A1:M5000"/>
  <conditionalFormatting sqref="A2:M5000">
    <cfRule type="expression" priority="1" dxfId="0">
      <formula>$L2="Pending"</formula>
    </cfRule>
    <cfRule type="expression" priority="2" dxfId="1">
      <formula>$L2="Preparing"</formula>
    </cfRule>
    <cfRule type="expression" priority="3" dxfId="2">
      <formula>$L2="Delivered"</formula>
    </cfRule>
    <cfRule type="expression" priority="4" dxfId="3">
      <formula>$L2="Cancelled"</formula>
    </cfRule>
  </conditionalFormatting>
  <dataValidations count="1">
    <dataValidation sqref="L2:L5000" showDropDown="0" showInputMessage="0" showErrorMessage="0" allowBlank="1" type="list">
      <formula1>"Pending,Preparing,Delivered,Cancelled"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Count</t>
        </is>
      </c>
    </row>
    <row r="2">
      <c r="A2" t="inlineStr">
        <is>
          <t>Pending</t>
        </is>
      </c>
      <c r="B2">
        <f>COUNTIF(Orders!L2:L5000,"Pending")</f>
        <v/>
      </c>
    </row>
    <row r="3">
      <c r="A3" t="inlineStr">
        <is>
          <t>Preparing</t>
        </is>
      </c>
      <c r="B3">
        <f>COUNTIF(Orders!L2:L5000,"Preparing")</f>
        <v/>
      </c>
    </row>
    <row r="4">
      <c r="A4" t="inlineStr">
        <is>
          <t>Delivered</t>
        </is>
      </c>
      <c r="B4">
        <f>COUNTIF(Orders!L2:L5000,"Delivered")</f>
        <v/>
      </c>
    </row>
    <row r="5">
      <c r="A5" t="inlineStr">
        <is>
          <t>Cancelled</t>
        </is>
      </c>
      <c r="B5">
        <f>COUNTIF(Orders!L2:L5000,"Cancelled")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2026-06-27T06:37:11Z</dcterms:created>
  <dcterms:modified xmlns:dcterms="http://purl.org/dc/terms/" xmlns:xsi="http://www.w3.org/2001/XMLSchema-instance" xsi:type="dcterms:W3CDTF">2026-06-27T06:37:11Z</dcterms:modified>
</cp:coreProperties>
</file>